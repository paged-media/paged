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etsch/Library/Containers/com.microsoft.Excel/Data/Documents/paged-oracle.anSTun/"/>
    </mc:Choice>
  </mc:AlternateContent>
  <xr:revisionPtr revIDLastSave="0" documentId="8_{1768AD68-19B9-204E-B1F1-8C486938D6B5}" xr6:coauthVersionLast="47" xr6:coauthVersionMax="47" xr10:uidLastSave="{00000000-0000-0000-0000-000000000000}"/>
  <bookViews>
    <workbookView xWindow="4360" yWindow="660" windowWidth="30200" windowHeight="21680" activeTab="2" xr2:uid="{00000000-000D-0000-FFFF-FFFF00000000}"/>
  </bookViews>
  <sheets>
    <sheet name="DT" sheetId="1" r:id="rId1"/>
    <sheet name="DT2" sheetId="2" r:id="rId2"/>
    <sheet name="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B5" i="3"/>
  <c r="B2" i="3"/>
  <c r="L4" i="2"/>
  <c r="F6" i="2"/>
  <c r="F5" i="2"/>
  <c r="C5" i="2"/>
  <c r="B5" i="2"/>
  <c r="L4" i="1"/>
  <c r="F6" i="1"/>
  <c r="F5" i="1"/>
  <c r="C5" i="1"/>
  <c r="B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workbookViewId="0"/>
  </sheetViews>
  <sheetFormatPr baseColWidth="10" defaultRowHeight="16" x14ac:dyDescent="0.2"/>
  <sheetData>
    <row r="1" spans="1:15" x14ac:dyDescent="0.2">
      <c r="A1">
        <v>1</v>
      </c>
      <c r="B1">
        <v>0.05</v>
      </c>
      <c r="C1">
        <v>3.14</v>
      </c>
    </row>
    <row r="2" spans="1:15" x14ac:dyDescent="0.2">
      <c r="B2">
        <v>1000</v>
      </c>
    </row>
    <row r="3" spans="1:15" x14ac:dyDescent="0.2">
      <c r="B3">
        <v>10</v>
      </c>
    </row>
    <row r="4" spans="1:15" x14ac:dyDescent="0.2">
      <c r="G4">
        <v>5</v>
      </c>
      <c r="H4">
        <v>15</v>
      </c>
      <c r="I4">
        <v>20</v>
      </c>
      <c r="J4">
        <v>30</v>
      </c>
      <c r="L4">
        <f>B2*(1+B1)^B3</f>
        <v>1628.8946267774415</v>
      </c>
      <c r="M4">
        <v>5</v>
      </c>
      <c r="N4">
        <v>10</v>
      </c>
      <c r="O4">
        <v>20</v>
      </c>
    </row>
    <row r="5" spans="1:15" x14ac:dyDescent="0.2">
      <c r="B5">
        <f>B2*(1+B1)^B3</f>
        <v>1628.8946267774415</v>
      </c>
      <c r="C5">
        <f>B2*B1</f>
        <v>50</v>
      </c>
      <c r="F5">
        <f>B2*(1+B1)^B3</f>
        <v>1628.8946267774415</v>
      </c>
      <c r="G5">
        <f t="dataTable" ref="G5:J6" dt2D="0" dtr="1" r1="B3" ca="1"/>
        <v>1276.2815625000001</v>
      </c>
      <c r="H5">
        <v>2078.9281794113681</v>
      </c>
      <c r="I5">
        <v>2653.2977051444209</v>
      </c>
      <c r="J5">
        <v>4321.9423751506629</v>
      </c>
      <c r="L5">
        <v>0.02</v>
      </c>
      <c r="M5">
        <f t="dataTable" ref="M5:O8" dt2D="1" dtr="1" r1="B3" r2="B1"/>
        <v>1104.0808032</v>
      </c>
      <c r="N5">
        <v>1218.9944199947572</v>
      </c>
      <c r="O5">
        <v>1485.9473959783543</v>
      </c>
    </row>
    <row r="6" spans="1:15" x14ac:dyDescent="0.2">
      <c r="A6">
        <v>0.01</v>
      </c>
      <c r="B6">
        <f t="dataTable" ref="B6:C10" dt2D="0" dtr="0" r1="B1" ca="1"/>
        <v>1104.6221254112047</v>
      </c>
      <c r="C6">
        <v>10</v>
      </c>
      <c r="F6">
        <f>B3*2+B1</f>
        <v>20.05</v>
      </c>
      <c r="G6">
        <v>10.050000000000001</v>
      </c>
      <c r="H6">
        <v>30.05</v>
      </c>
      <c r="I6">
        <v>40.049999999999997</v>
      </c>
      <c r="J6">
        <v>60.05</v>
      </c>
      <c r="L6">
        <v>0.04</v>
      </c>
      <c r="M6">
        <v>1216.6529024000004</v>
      </c>
      <c r="N6">
        <v>1480.2442849183446</v>
      </c>
      <c r="O6">
        <v>2191.1231430334215</v>
      </c>
    </row>
    <row r="7" spans="1:15" x14ac:dyDescent="0.2">
      <c r="A7">
        <v>0.02</v>
      </c>
      <c r="B7">
        <v>1218.9944199947572</v>
      </c>
      <c r="C7">
        <v>20</v>
      </c>
      <c r="L7">
        <v>0.06</v>
      </c>
      <c r="M7">
        <v>1338.2255776000004</v>
      </c>
      <c r="N7">
        <v>1790.8476965428547</v>
      </c>
      <c r="O7">
        <v>3207.1354722128481</v>
      </c>
    </row>
    <row r="8" spans="1:15" x14ac:dyDescent="0.2">
      <c r="A8">
        <v>0.03</v>
      </c>
      <c r="B8">
        <v>1343.9163793441219</v>
      </c>
      <c r="C8">
        <v>30</v>
      </c>
      <c r="L8">
        <v>0.08</v>
      </c>
      <c r="M8">
        <v>1469.3280768000004</v>
      </c>
      <c r="N8">
        <v>2158.9249972727876</v>
      </c>
      <c r="O8">
        <v>4660.9571438493067</v>
      </c>
    </row>
    <row r="9" spans="1:15" x14ac:dyDescent="0.2">
      <c r="A9">
        <v>0.04</v>
      </c>
      <c r="B9">
        <v>1480.2442849183446</v>
      </c>
      <c r="C9">
        <v>40</v>
      </c>
    </row>
    <row r="10" spans="1:15" x14ac:dyDescent="0.2">
      <c r="A10">
        <v>0.06</v>
      </c>
      <c r="B10">
        <v>1790.8476965428547</v>
      </c>
      <c r="C10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F1C6F-9ACC-0240-ADFD-D4BF6DECCE06}">
  <dimension ref="A1:O10"/>
  <sheetViews>
    <sheetView workbookViewId="0"/>
  </sheetViews>
  <sheetFormatPr baseColWidth="10" defaultRowHeight="16" x14ac:dyDescent="0.2"/>
  <sheetData>
    <row r="1" spans="1:15" x14ac:dyDescent="0.2">
      <c r="B1">
        <v>0.05</v>
      </c>
    </row>
    <row r="2" spans="1:15" x14ac:dyDescent="0.2">
      <c r="B2">
        <v>2000</v>
      </c>
    </row>
    <row r="3" spans="1:15" x14ac:dyDescent="0.2">
      <c r="B3">
        <v>10</v>
      </c>
    </row>
    <row r="4" spans="1:15" x14ac:dyDescent="0.2">
      <c r="G4">
        <v>5</v>
      </c>
      <c r="H4">
        <v>15</v>
      </c>
      <c r="I4">
        <v>20</v>
      </c>
      <c r="J4">
        <v>30</v>
      </c>
      <c r="L4">
        <f>B2*(1+B1)^B3</f>
        <v>3257.7892535548831</v>
      </c>
      <c r="M4">
        <v>5</v>
      </c>
      <c r="N4">
        <v>10</v>
      </c>
      <c r="O4">
        <v>20</v>
      </c>
    </row>
    <row r="5" spans="1:15" x14ac:dyDescent="0.2">
      <c r="B5">
        <f>B2*(1+B1)^B3</f>
        <v>3257.7892535548831</v>
      </c>
      <c r="C5">
        <f>B2*B1</f>
        <v>100</v>
      </c>
      <c r="F5">
        <f>B2*(1+B1)^B3</f>
        <v>3257.7892535548831</v>
      </c>
      <c r="G5">
        <f t="dataTable" ref="G5:J6" dt2D="0" dtr="1" r1="B3" ca="1"/>
        <v>2552.5631250000001</v>
      </c>
      <c r="H5">
        <v>4157.8563588227362</v>
      </c>
      <c r="I5">
        <v>5306.5954102888418</v>
      </c>
      <c r="J5">
        <v>8643.8847503013258</v>
      </c>
      <c r="L5">
        <v>0.02</v>
      </c>
      <c r="M5">
        <f t="dataTable" ref="M5:O8" dt2D="1" dtr="1" r1="B3" r2="B1"/>
        <v>2208.1616064</v>
      </c>
      <c r="N5">
        <v>2437.9888399895144</v>
      </c>
      <c r="O5">
        <v>2971.8947919567086</v>
      </c>
    </row>
    <row r="6" spans="1:15" x14ac:dyDescent="0.2">
      <c r="A6">
        <v>0.01</v>
      </c>
      <c r="B6">
        <f t="dataTable" ref="B6:C10" dt2D="0" dtr="0" r1="B1" ca="1"/>
        <v>2209.2442508224094</v>
      </c>
      <c r="C6">
        <v>20</v>
      </c>
      <c r="F6">
        <f>B3*2+B1</f>
        <v>20.05</v>
      </c>
      <c r="G6">
        <v>10.050000000000001</v>
      </c>
      <c r="H6">
        <v>30.05</v>
      </c>
      <c r="I6">
        <v>40.049999999999997</v>
      </c>
      <c r="J6">
        <v>60.05</v>
      </c>
      <c r="L6">
        <v>0.04</v>
      </c>
      <c r="M6">
        <v>2433.3058048000007</v>
      </c>
      <c r="N6">
        <v>2960.4885698366893</v>
      </c>
      <c r="O6">
        <v>4382.2462860668429</v>
      </c>
    </row>
    <row r="7" spans="1:15" x14ac:dyDescent="0.2">
      <c r="A7">
        <v>0.02</v>
      </c>
      <c r="B7">
        <v>2437.9888399895144</v>
      </c>
      <c r="C7">
        <v>40</v>
      </c>
      <c r="L7">
        <v>0.06</v>
      </c>
      <c r="M7">
        <v>2676.4511552000008</v>
      </c>
      <c r="N7">
        <v>3581.6953930857094</v>
      </c>
      <c r="O7">
        <v>6414.2709444256961</v>
      </c>
    </row>
    <row r="8" spans="1:15" x14ac:dyDescent="0.2">
      <c r="A8">
        <v>0.03</v>
      </c>
      <c r="B8">
        <v>2687.8327586882438</v>
      </c>
      <c r="C8">
        <v>60</v>
      </c>
      <c r="L8">
        <v>0.08</v>
      </c>
      <c r="M8">
        <v>2938.6561536000008</v>
      </c>
      <c r="N8">
        <v>4317.8499945455751</v>
      </c>
      <c r="O8">
        <v>9321.9142876986134</v>
      </c>
    </row>
    <row r="9" spans="1:15" x14ac:dyDescent="0.2">
      <c r="A9">
        <v>0.04</v>
      </c>
      <c r="B9">
        <v>2960.4885698366893</v>
      </c>
      <c r="C9">
        <v>80</v>
      </c>
    </row>
    <row r="10" spans="1:15" x14ac:dyDescent="0.2">
      <c r="A10">
        <v>0.06</v>
      </c>
      <c r="B10">
        <v>3581.6953930857094</v>
      </c>
      <c r="C10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B8F6B-9C9E-CA4B-9A0E-0EA364175DC8}">
  <dimension ref="B1:C8"/>
  <sheetViews>
    <sheetView tabSelected="1" workbookViewId="0"/>
  </sheetViews>
  <sheetFormatPr baseColWidth="10" defaultRowHeight="16" x14ac:dyDescent="0.2"/>
  <sheetData>
    <row r="1" spans="2:3" x14ac:dyDescent="0.2">
      <c r="B1">
        <v>20.910934892603148</v>
      </c>
    </row>
    <row r="2" spans="2:3" x14ac:dyDescent="0.2">
      <c r="B2">
        <f>B1^2+3*B1</f>
        <v>500.0000027604973</v>
      </c>
      <c r="C2" t="b">
        <v>1</v>
      </c>
    </row>
    <row r="4" spans="2:3" x14ac:dyDescent="0.2">
      <c r="B4">
        <v>4.3871154226978355</v>
      </c>
    </row>
    <row r="5" spans="2:3" x14ac:dyDescent="0.2">
      <c r="B5" s="1">
        <f>PMT(B4/1200,360,-200000)</f>
        <v>1000.0002219168666</v>
      </c>
      <c r="C5" t="b">
        <v>1</v>
      </c>
    </row>
    <row r="7" spans="2:3" x14ac:dyDescent="0.2">
      <c r="B7">
        <v>8.9996285610935782</v>
      </c>
    </row>
    <row r="8" spans="2:3" x14ac:dyDescent="0.2">
      <c r="B8">
        <f>SQRT(B7)+B7</f>
        <v>11.999566653970426</v>
      </c>
      <c r="C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DT</vt:lpstr>
      <vt:lpstr>DT2</vt:lpstr>
      <vt:lpstr>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Dietmar Rietsch</cp:lastModifiedBy>
  <dcterms:created xsi:type="dcterms:W3CDTF">2026-10-23T05:58:33Z</dcterms:created>
  <dcterms:modified xsi:type="dcterms:W3CDTF">2026-10-23T05:58:33Z</dcterms:modified>
</cp:coreProperties>
</file>